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\covid\"/>
    </mc:Choice>
  </mc:AlternateContent>
  <xr:revisionPtr revIDLastSave="0" documentId="13_ncr:1_{BED9FBF6-5439-4ABF-95D7-D95EE21C1916}" xr6:coauthVersionLast="45" xr6:coauthVersionMax="45" xr10:uidLastSave="{00000000-0000-0000-0000-000000000000}"/>
  <bookViews>
    <workbookView xWindow="3150" yWindow="444" windowWidth="17496" windowHeight="11430" firstSheet="16" activeTab="22" xr2:uid="{EB496C1F-C816-4D3C-9B41-8BC9CC2942EE}"/>
  </bookViews>
  <sheets>
    <sheet name="Sheet10" sheetId="10" r:id="rId1"/>
    <sheet name="Sheet1" sheetId="11" r:id="rId2"/>
    <sheet name="Sheet2" sheetId="12" r:id="rId3"/>
    <sheet name="Sheet3" sheetId="13" r:id="rId4"/>
    <sheet name="Sheet4" sheetId="14" r:id="rId5"/>
    <sheet name="Sheet5" sheetId="15" r:id="rId6"/>
    <sheet name="Sheet6" sheetId="20" r:id="rId7"/>
    <sheet name="Sheet7" sheetId="21" r:id="rId8"/>
    <sheet name="Sheet8" sheetId="22" r:id="rId9"/>
    <sheet name="Sheet9" sheetId="23" r:id="rId10"/>
    <sheet name="Sheet26" sheetId="39" r:id="rId11"/>
    <sheet name="Sheet30" sheetId="43" r:id="rId12"/>
    <sheet name="Sheet11" sheetId="44" r:id="rId13"/>
    <sheet name="Sheet14" sheetId="47" r:id="rId14"/>
    <sheet name="Sheet15" sheetId="48" r:id="rId15"/>
    <sheet name="Sheet12" sheetId="49" r:id="rId16"/>
    <sheet name="Sheet13" sheetId="50" r:id="rId17"/>
    <sheet name="Sheet16" sheetId="51" r:id="rId18"/>
    <sheet name="Sheet17" sheetId="52" r:id="rId19"/>
    <sheet name="Sheet18" sheetId="53" r:id="rId20"/>
    <sheet name="Sheet19" sheetId="54" r:id="rId21"/>
    <sheet name="Sheet20" sheetId="55" r:id="rId22"/>
    <sheet name="Sheet21" sheetId="56" r:id="rId2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O250" i="23" l="1"/>
  <c r="AP250" i="23"/>
  <c r="AQ250" i="23"/>
  <c r="AR250" i="23"/>
  <c r="AS250" i="23"/>
  <c r="AT250" i="23"/>
  <c r="AU250" i="23"/>
  <c r="AV250" i="23"/>
  <c r="AW250" i="23"/>
  <c r="AX250" i="23"/>
  <c r="AY250" i="23"/>
  <c r="AZ250" i="23"/>
  <c r="BA250" i="23"/>
  <c r="BB250" i="23"/>
  <c r="BC250" i="23"/>
  <c r="BD250" i="23"/>
  <c r="BE250" i="23"/>
  <c r="BF250" i="23"/>
  <c r="BG250" i="23"/>
  <c r="BH250" i="23"/>
  <c r="BI250" i="23"/>
  <c r="BJ250" i="23"/>
  <c r="BK250" i="23"/>
  <c r="AN250" i="2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Sheet10!$A$1:$L$1</c:f>
              <c:numCache>
                <c:formatCode>General</c:formatCode>
                <c:ptCount val="1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5-472D-921E-6CD4160179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5221504"/>
        <c:axId val="1084046048"/>
      </c:scatterChart>
      <c:valAx>
        <c:axId val="137522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046048"/>
        <c:crosses val="autoZero"/>
        <c:crossBetween val="midCat"/>
      </c:valAx>
      <c:valAx>
        <c:axId val="1084046048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5221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Sheet1!$A$1:$M$1</c:f>
              <c:numCache>
                <c:formatCode>General</c:formatCode>
                <c:ptCount val="1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25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57</c:v>
                </c:pt>
                <c:pt idx="10">
                  <c:v>139</c:v>
                </c:pt>
                <c:pt idx="11">
                  <c:v>121</c:v>
                </c:pt>
                <c:pt idx="12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68-4D50-A5A2-EB0FD73AE4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2286736"/>
        <c:axId val="834690192"/>
      </c:scatterChart>
      <c:valAx>
        <c:axId val="73228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90192"/>
        <c:crosses val="autoZero"/>
        <c:crossBetween val="midCat"/>
      </c:valAx>
      <c:valAx>
        <c:axId val="834690192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28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Sheet2!$A$1:$N$1</c:f>
              <c:numCache>
                <c:formatCode>General</c:formatCode>
                <c:ptCount val="1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50</c:v>
                </c:pt>
                <c:pt idx="10">
                  <c:v>136</c:v>
                </c:pt>
                <c:pt idx="11">
                  <c:v>115</c:v>
                </c:pt>
                <c:pt idx="12">
                  <c:v>66</c:v>
                </c:pt>
                <c:pt idx="13">
                  <c:v>1086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83-4AC5-ACBB-B37B8EF8C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74463"/>
        <c:axId val="1353242511"/>
      </c:scatterChart>
      <c:valAx>
        <c:axId val="1192474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242511"/>
        <c:crosses val="autoZero"/>
        <c:crossBetween val="midCat"/>
      </c:valAx>
      <c:valAx>
        <c:axId val="135324251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4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Sheet3!$A$1:$O$1</c:f>
              <c:numCache>
                <c:formatCode>General</c:formatCode>
                <c:ptCount val="1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1082</c:v>
                </c:pt>
                <c:pt idx="14">
                  <c:v>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A4-4529-A173-88C59F13D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3447568"/>
        <c:axId val="1855434032"/>
      </c:scatterChart>
      <c:valAx>
        <c:axId val="1723447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434032"/>
        <c:crosses val="autoZero"/>
        <c:crossBetween val="midCat"/>
      </c:valAx>
      <c:valAx>
        <c:axId val="185543403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47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Sheet4!$A$1:$P$1</c:f>
              <c:numCache>
                <c:formatCode>General</c:formatCode>
                <c:ptCount val="1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E3-4766-B957-3FCB18DE9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225807"/>
        <c:axId val="2059317551"/>
      </c:scatterChart>
      <c:valAx>
        <c:axId val="20492258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317551"/>
        <c:crosses val="autoZero"/>
        <c:crossBetween val="midCat"/>
      </c:valAx>
      <c:valAx>
        <c:axId val="2059317551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225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Sheet5!$A$1:$Q$1</c:f>
              <c:numCache>
                <c:formatCode>General</c:formatCode>
                <c:ptCount val="1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4B-491F-A500-7A51C41F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071152"/>
        <c:axId val="400070168"/>
      </c:scatterChart>
      <c:valAx>
        <c:axId val="40007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0168"/>
        <c:crosses val="autoZero"/>
        <c:crossBetween val="midCat"/>
      </c:valAx>
      <c:valAx>
        <c:axId val="400070168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07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3/16/2020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Sheet6!$A$1:$T$1</c:f>
              <c:numCache>
                <c:formatCode>m/d/yyyy</c:formatCode>
                <c:ptCount val="20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</c:numCache>
            </c:numRef>
          </c:xVal>
          <c:yVal>
            <c:numRef>
              <c:f>Sheet6!$A$2:$T$2</c:f>
              <c:numCache>
                <c:formatCode>General</c:formatCode>
                <c:ptCount val="20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9-469D-9EE4-A887ECB60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05840"/>
        <c:axId val="323000856"/>
      </c:scatterChart>
      <c:valAx>
        <c:axId val="477505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000856"/>
        <c:crosses val="autoZero"/>
        <c:crossBetween val="midCat"/>
      </c:valAx>
      <c:valAx>
        <c:axId val="32300085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05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Sheet7!$A$1:$U$1</c:f>
              <c:numCache>
                <c:formatCode>m/d/yyyy</c:formatCode>
                <c:ptCount val="2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</c:numCache>
            </c:numRef>
          </c:xVal>
          <c:yVal>
            <c:numRef>
              <c:f>Sheet7!$A$2:$U$2</c:f>
              <c:numCache>
                <c:formatCode>General</c:formatCode>
                <c:ptCount val="2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AA-4377-AA04-577EAA2E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1989584"/>
        <c:axId val="701989912"/>
      </c:scatterChart>
      <c:valAx>
        <c:axId val="701989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912"/>
        <c:crosses val="autoZero"/>
        <c:crossBetween val="midCat"/>
      </c:valAx>
      <c:valAx>
        <c:axId val="70198991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1989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Sheet8!$A$1:$V$1</c:f>
              <c:numCache>
                <c:formatCode>m/d/yyyy</c:formatCode>
                <c:ptCount val="2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</c:numCache>
            </c:numRef>
          </c:xVal>
          <c:yVal>
            <c:numRef>
              <c:f>Sheet8!$A$2:$V$2</c:f>
              <c:numCache>
                <c:formatCode>General</c:formatCode>
                <c:ptCount val="2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A1-4946-BBE6-0405E7E6F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353600"/>
        <c:axId val="333356224"/>
      </c:scatterChart>
      <c:valAx>
        <c:axId val="33335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6224"/>
        <c:crosses val="autoZero"/>
        <c:crossBetween val="midCat"/>
      </c:valAx>
      <c:valAx>
        <c:axId val="33335622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3353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3/19/2020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Sheet9!$A$1:$W$1</c:f>
              <c:numCache>
                <c:formatCode>m/d/yyyy</c:formatCode>
                <c:ptCount val="2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</c:numCache>
            </c:numRef>
          </c:xVal>
          <c:yVal>
            <c:numRef>
              <c:f>Sheet9!$A$2:$W$2</c:f>
              <c:numCache>
                <c:formatCode>General</c:formatCode>
                <c:ptCount val="2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78-4F6F-8FA6-21ED13FA09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267752"/>
        <c:axId val="712268736"/>
      </c:scatterChart>
      <c:valAx>
        <c:axId val="712267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8736"/>
        <c:crosses val="autoZero"/>
        <c:crossBetween val="midCat"/>
      </c:valAx>
      <c:valAx>
        <c:axId val="712268736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267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Sheet26!$A$2:$X$2</c:f>
              <c:numCache>
                <c:formatCode>General</c:formatCode>
                <c:ptCount val="2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42328"/>
        <c:axId val="79424495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Sheet26!$A$1:$X$1</c:f>
              <c:numCache>
                <c:formatCode>m/d/yyyy</c:formatCode>
                <c:ptCount val="2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</c:numCache>
            </c:numRef>
          </c:xVal>
          <c:yVal>
            <c:numRef>
              <c:f>Sheet26!$A$3:$X$3</c:f>
              <c:numCache>
                <c:formatCode>0.0%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AD-4E5F-8015-81DABCEE5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359184"/>
        <c:axId val="495361152"/>
      </c:scatterChart>
      <c:valAx>
        <c:axId val="794242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4952"/>
        <c:crosses val="autoZero"/>
        <c:crossBetween val="midCat"/>
      </c:valAx>
      <c:valAx>
        <c:axId val="794244952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42328"/>
        <c:crosses val="autoZero"/>
        <c:crossBetween val="midCat"/>
      </c:valAx>
      <c:valAx>
        <c:axId val="4953611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359184"/>
        <c:crosses val="max"/>
        <c:crossBetween val="midCat"/>
      </c:valAx>
      <c:valAx>
        <c:axId val="495359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5361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Sheet30!$A$2:$Y$2</c:f>
              <c:numCache>
                <c:formatCode>General</c:formatCode>
                <c:ptCount val="2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061488"/>
        <c:axId val="1024062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Sheet30!$A$1:$Y$1</c:f>
              <c:numCache>
                <c:formatCode>m/d/yyyy</c:formatCode>
                <c:ptCount val="2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</c:numCache>
            </c:numRef>
          </c:xVal>
          <c:yVal>
            <c:numRef>
              <c:f>Sheet30!$A$3:$Y$3</c:f>
              <c:numCache>
                <c:formatCode>0.0%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061-4F36-B544-1CF1E8002B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70880"/>
        <c:axId val="805272192"/>
      </c:scatterChart>
      <c:valAx>
        <c:axId val="1024061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2144"/>
        <c:crosses val="autoZero"/>
        <c:crossBetween val="midCat"/>
      </c:valAx>
      <c:valAx>
        <c:axId val="1024062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061488"/>
        <c:crosses val="autoZero"/>
        <c:crossBetween val="midCat"/>
      </c:valAx>
      <c:valAx>
        <c:axId val="8052721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270880"/>
        <c:crosses val="max"/>
        <c:crossBetween val="midCat"/>
      </c:valAx>
      <c:valAx>
        <c:axId val="8052708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0527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New Cases: 3/22/2020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Sheet11!$A$2:$Z$2</c:f>
              <c:numCache>
                <c:formatCode>General</c:formatCode>
                <c:ptCount val="2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4231504"/>
        <c:axId val="794233144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Sheet11!$A$1:$Z$1</c:f>
              <c:numCache>
                <c:formatCode>m/d/yyyy</c:formatCode>
                <c:ptCount val="2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</c:numCache>
            </c:numRef>
          </c:xVal>
          <c:yVal>
            <c:numRef>
              <c:f>Sheet11!$A$3:$Z$3</c:f>
              <c:numCache>
                <c:formatCode>0.0%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E8-4BDC-8417-41DA40B03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9606856"/>
        <c:axId val="749601608"/>
      </c:scatterChart>
      <c:valAx>
        <c:axId val="794231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3144"/>
        <c:crosses val="autoZero"/>
        <c:crossBetween val="midCat"/>
      </c:valAx>
      <c:valAx>
        <c:axId val="794233144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4231504"/>
        <c:crosses val="autoZero"/>
        <c:crossBetween val="midCat"/>
      </c:valAx>
      <c:valAx>
        <c:axId val="749601608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6856"/>
        <c:crosses val="max"/>
        <c:crossBetween val="midCat"/>
      </c:valAx>
      <c:valAx>
        <c:axId val="7496068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601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3/24/2020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Sheet14!$A$1:$AB$1</c:f>
              <c:numCache>
                <c:formatCode>m/d/yyyy</c:formatCode>
                <c:ptCount val="2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</c:numCache>
            </c:numRef>
          </c:xVal>
          <c:yVal>
            <c:numRef>
              <c:f>Sheet14!$A$2:$AB$2</c:f>
              <c:numCache>
                <c:formatCode>General</c:formatCode>
                <c:ptCount val="28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F0-45EE-A9B0-E9F7BAC9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6688"/>
        <c:axId val="64194176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Sheet14!$A$1:$AB$1</c:f>
              <c:numCache>
                <c:formatCode>m/d/yyyy</c:formatCode>
                <c:ptCount val="2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</c:numCache>
            </c:numRef>
          </c:xVal>
          <c:yVal>
            <c:numRef>
              <c:f>Sheet14!$A$3:$AB$3</c:f>
              <c:numCache>
                <c:formatCode>0.0%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F0-45EE-A9B0-E9F7BAC9C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44456"/>
        <c:axId val="874943800"/>
      </c:scatterChart>
      <c:valAx>
        <c:axId val="641946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1768"/>
        <c:crosses val="autoZero"/>
        <c:crossBetween val="midCat"/>
      </c:valAx>
      <c:valAx>
        <c:axId val="64194176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6688"/>
        <c:crosses val="autoZero"/>
        <c:crossBetween val="midCat"/>
      </c:valAx>
      <c:valAx>
        <c:axId val="87494380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44456"/>
        <c:crosses val="max"/>
        <c:crossBetween val="midCat"/>
      </c:valAx>
      <c:valAx>
        <c:axId val="8749444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943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3/27/2020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Sheet15!$A$1:$AE$1</c:f>
              <c:numCache>
                <c:formatCode>m/d/yyyy</c:formatCode>
                <c:ptCount val="3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</c:numCache>
            </c:numRef>
          </c:xVal>
          <c:yVal>
            <c:numRef>
              <c:f>Sheet15!$A$2:$AE$2</c:f>
              <c:numCache>
                <c:formatCode>General</c:formatCode>
                <c:ptCount val="31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02-41E4-9BDB-31540E7A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52264"/>
        <c:axId val="641951280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Sheet15!$A$1:$AE$1</c:f>
              <c:numCache>
                <c:formatCode>m/d/yyyy</c:formatCode>
                <c:ptCount val="31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</c:numCache>
            </c:numRef>
          </c:xVal>
          <c:yVal>
            <c:numRef>
              <c:f>Sheet15!$A$3:$AE$3</c:f>
              <c:numCache>
                <c:formatCode>0.0%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02-41E4-9BDB-31540E7A3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5376248"/>
        <c:axId val="695376904"/>
      </c:scatterChart>
      <c:valAx>
        <c:axId val="641952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1280"/>
        <c:crosses val="autoZero"/>
        <c:crossBetween val="midCat"/>
      </c:valAx>
      <c:valAx>
        <c:axId val="641951280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2264"/>
        <c:crosses val="autoZero"/>
        <c:crossBetween val="midCat"/>
      </c:valAx>
      <c:valAx>
        <c:axId val="695376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5376248"/>
        <c:crosses val="max"/>
        <c:crossBetween val="midCat"/>
      </c:valAx>
      <c:valAx>
        <c:axId val="6953762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95376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3/28/2020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Sheet12!$A$1:$AF$1</c:f>
              <c:numCache>
                <c:formatCode>m/d/yyyy</c:formatCode>
                <c:ptCount val="3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</c:numCache>
            </c:numRef>
          </c:xVal>
          <c:yVal>
            <c:numRef>
              <c:f>Sheet12!$A$2:$AF$2</c:f>
              <c:numCache>
                <c:formatCode>General</c:formatCode>
                <c:ptCount val="32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12-4A47-9219-A2614ABA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49968"/>
        <c:axId val="641943736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Sheet12!$A$1:$AF$1</c:f>
              <c:numCache>
                <c:formatCode>m/d/yyyy</c:formatCode>
                <c:ptCount val="32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</c:numCache>
            </c:numRef>
          </c:xVal>
          <c:yVal>
            <c:numRef>
              <c:f>Sheet12!$A$3:$AF$3</c:f>
              <c:numCache>
                <c:formatCode>0.0%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12-4A47-9219-A2614ABAB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77912"/>
        <c:axId val="874984144"/>
      </c:scatterChart>
      <c:valAx>
        <c:axId val="64194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3736"/>
        <c:crosses val="autoZero"/>
        <c:crossBetween val="midCat"/>
      </c:valAx>
      <c:valAx>
        <c:axId val="641943736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49968"/>
        <c:crosses val="autoZero"/>
        <c:crossBetween val="midCat"/>
      </c:valAx>
      <c:valAx>
        <c:axId val="87498414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77912"/>
        <c:crosses val="max"/>
        <c:crossBetween val="midCat"/>
      </c:valAx>
      <c:valAx>
        <c:axId val="87497791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4984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3/29/2020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Sheet13!$A$1:$AG$1</c:f>
              <c:numCache>
                <c:formatCode>m/d/yyyy</c:formatCode>
                <c:ptCount val="3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</c:numCache>
            </c:numRef>
          </c:xVal>
          <c:yVal>
            <c:numRef>
              <c:f>Sheet13!$A$2:$AG$2</c:f>
              <c:numCache>
                <c:formatCode>General</c:formatCode>
                <c:ptCount val="33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3B-4293-BE3F-FE7CD2D2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5784632"/>
        <c:axId val="845785616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Sheet13!$A$1:$AG$1</c:f>
              <c:numCache>
                <c:formatCode>m/d/yyyy</c:formatCode>
                <c:ptCount val="33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</c:numCache>
            </c:numRef>
          </c:xVal>
          <c:yVal>
            <c:numRef>
              <c:f>Sheet13!$A$3:$AG$3</c:f>
              <c:numCache>
                <c:formatCode>0.0%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3B-4293-BE3F-FE7CD2D275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4996608"/>
        <c:axId val="875005792"/>
      </c:scatterChart>
      <c:valAx>
        <c:axId val="845784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5616"/>
        <c:crosses val="autoZero"/>
        <c:crossBetween val="midCat"/>
      </c:valAx>
      <c:valAx>
        <c:axId val="845785616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784632"/>
        <c:crosses val="autoZero"/>
        <c:crossBetween val="midCat"/>
      </c:valAx>
      <c:valAx>
        <c:axId val="87500579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4996608"/>
        <c:crosses val="max"/>
        <c:crossBetween val="midCat"/>
      </c:valAx>
      <c:valAx>
        <c:axId val="8749966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87500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3/30/2020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Sheet16!$A$1:$AH$1</c:f>
              <c:numCache>
                <c:formatCode>m/d/yyyy</c:formatCode>
                <c:ptCount val="3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</c:numCache>
            </c:numRef>
          </c:xVal>
          <c:yVal>
            <c:numRef>
              <c:f>Sheet16!$A$2:$AH$2</c:f>
              <c:numCache>
                <c:formatCode>General</c:formatCode>
                <c:ptCount val="34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CA9-4DCB-A36C-3AA3C181C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53576"/>
        <c:axId val="6419548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Sheet16!$A$1:$AH$1</c:f>
              <c:numCache>
                <c:formatCode>m/d/yyyy</c:formatCode>
                <c:ptCount val="34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</c:numCache>
            </c:numRef>
          </c:xVal>
          <c:yVal>
            <c:numRef>
              <c:f>Sheet16!$A$3:$AH$3</c:f>
              <c:numCache>
                <c:formatCode>0.0%</c:formatCode>
                <c:ptCount val="3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CA9-4DCB-A36C-3AA3C181C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968008"/>
        <c:axId val="641967352"/>
      </c:scatterChart>
      <c:valAx>
        <c:axId val="641953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4888"/>
        <c:crosses val="autoZero"/>
        <c:crossBetween val="midCat"/>
      </c:valAx>
      <c:valAx>
        <c:axId val="6419548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53576"/>
        <c:crosses val="autoZero"/>
        <c:crossBetween val="midCat"/>
      </c:valAx>
      <c:valAx>
        <c:axId val="6419673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68008"/>
        <c:crosses val="max"/>
        <c:crossBetween val="midCat"/>
      </c:valAx>
      <c:valAx>
        <c:axId val="64196800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1967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3/31/2020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Sheet17!$A$1:$AI$1</c:f>
              <c:numCache>
                <c:formatCode>m/d/yyyy</c:formatCode>
                <c:ptCount val="3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</c:numCache>
            </c:numRef>
          </c:xVal>
          <c:yVal>
            <c:numRef>
              <c:f>Sheet17!$A$2:$AI$2</c:f>
              <c:numCache>
                <c:formatCode>General</c:formatCode>
                <c:ptCount val="35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DFF-4CA1-A829-45532804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38272"/>
        <c:axId val="56003892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Sheet17!$A$1:$AI$1</c:f>
              <c:numCache>
                <c:formatCode>m/d/yyyy</c:formatCode>
                <c:ptCount val="35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</c:numCache>
            </c:numRef>
          </c:xVal>
          <c:yVal>
            <c:numRef>
              <c:f>Sheet17!$A$3:$AI$3</c:f>
              <c:numCache>
                <c:formatCode>0.0%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FF-4CA1-A829-455328046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990752"/>
        <c:axId val="644992720"/>
      </c:scatterChart>
      <c:valAx>
        <c:axId val="560038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38928"/>
        <c:crosses val="autoZero"/>
        <c:crossBetween val="midCat"/>
      </c:valAx>
      <c:valAx>
        <c:axId val="56003892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38272"/>
        <c:crosses val="autoZero"/>
        <c:crossBetween val="midCat"/>
      </c:valAx>
      <c:valAx>
        <c:axId val="644992720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4990752"/>
        <c:crosses val="max"/>
        <c:crossBetween val="midCat"/>
      </c:valAx>
      <c:valAx>
        <c:axId val="6449907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44992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4/1/2020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Sheet18!$A$1:$AJ$1</c:f>
              <c:numCache>
                <c:formatCode>m/d/yyyy</c:formatCode>
                <c:ptCount val="3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</c:numCache>
            </c:numRef>
          </c:xVal>
          <c:yVal>
            <c:numRef>
              <c:f>Sheet18!$A$2:$AJ$2</c:f>
              <c:numCache>
                <c:formatCode>General</c:formatCode>
                <c:ptCount val="36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33-473D-A7B7-1F77B19F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112936"/>
        <c:axId val="6461076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Sheet18!$A$1:$AJ$1</c:f>
              <c:numCache>
                <c:formatCode>m/d/yyyy</c:formatCode>
                <c:ptCount val="36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</c:numCache>
            </c:numRef>
          </c:xVal>
          <c:yVal>
            <c:numRef>
              <c:f>Sheet18!$A$3:$AJ$3</c:f>
              <c:numCache>
                <c:formatCode>0.0%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33-473D-A7B7-1F77B19F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26344"/>
        <c:axId val="490107704"/>
      </c:scatterChart>
      <c:valAx>
        <c:axId val="646112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07688"/>
        <c:crosses val="autoZero"/>
        <c:crossBetween val="midCat"/>
      </c:valAx>
      <c:valAx>
        <c:axId val="6461076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6112936"/>
        <c:crosses val="autoZero"/>
        <c:crossBetween val="midCat"/>
      </c:valAx>
      <c:valAx>
        <c:axId val="4901077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26344"/>
        <c:crosses val="max"/>
        <c:crossBetween val="midCat"/>
      </c:valAx>
      <c:valAx>
        <c:axId val="7222263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90107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4/2/2020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Sheet19!$A$1:$AK$1</c:f>
              <c:numCache>
                <c:formatCode>m/d/yyyy</c:formatCode>
                <c:ptCount val="37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</c:numCache>
            </c:numRef>
          </c:xVal>
          <c:yVal>
            <c:numRef>
              <c:f>Sheet19!$A$2:$AK$2</c:f>
              <c:numCache>
                <c:formatCode>General</c:formatCode>
                <c:ptCount val="37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8-44D9-9E1C-BF2C35D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52664"/>
        <c:axId val="60655299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Sheet19!$A$1:$AK$1</c:f>
              <c:numCache>
                <c:formatCode>m/d/yyyy</c:formatCode>
                <c:ptCount val="37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</c:numCache>
            </c:numRef>
          </c:xVal>
          <c:yVal>
            <c:numRef>
              <c:f>Sheet19!$A$3:$AK$3</c:f>
              <c:numCache>
                <c:formatCode>0.0%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88-44D9-9E1C-BF2C35D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628856"/>
        <c:axId val="594623936"/>
      </c:scatterChart>
      <c:valAx>
        <c:axId val="60655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992"/>
        <c:crosses val="autoZero"/>
        <c:crossBetween val="midCat"/>
      </c:valAx>
      <c:valAx>
        <c:axId val="606552992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664"/>
        <c:crosses val="autoZero"/>
        <c:crossBetween val="midCat"/>
      </c:valAx>
      <c:valAx>
        <c:axId val="59462393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628856"/>
        <c:crosses val="max"/>
        <c:crossBetween val="midCat"/>
      </c:valAx>
      <c:valAx>
        <c:axId val="59462885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4623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4/3/2020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Sheet20!$A$1:$AL$1</c:f>
              <c:numCache>
                <c:formatCode>m/d/yyyy</c:formatCode>
                <c:ptCount val="3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</c:numCache>
            </c:numRef>
          </c:xVal>
          <c:yVal>
            <c:numRef>
              <c:f>Sheet20!$A$2:$AL$2</c:f>
              <c:numCache>
                <c:formatCode>General</c:formatCode>
                <c:ptCount val="38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  <c:pt idx="37">
                  <c:v>32133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7E7-4F7A-933A-749457FF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52336"/>
        <c:axId val="606552992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Sheet20!$A$1:$AL$1</c:f>
              <c:numCache>
                <c:formatCode>m/d/yyyy</c:formatCode>
                <c:ptCount val="38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</c:numCache>
            </c:numRef>
          </c:xVal>
          <c:yVal>
            <c:numRef>
              <c:f>Sheet20!$A$3:$AL$3</c:f>
              <c:numCache>
                <c:formatCode>0.0%</c:formatCode>
                <c:ptCount val="3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2.4341453997280788E-2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E7-4F7A-933A-749457FF56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660944"/>
        <c:axId val="247662256"/>
      </c:scatterChart>
      <c:valAx>
        <c:axId val="6065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992"/>
        <c:crosses val="autoZero"/>
        <c:crossBetween val="midCat"/>
      </c:valAx>
      <c:valAx>
        <c:axId val="606552992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52336"/>
        <c:crosses val="autoZero"/>
        <c:crossBetween val="midCat"/>
      </c:valAx>
      <c:valAx>
        <c:axId val="247662256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660944"/>
        <c:crosses val="max"/>
        <c:crossBetween val="midCat"/>
      </c:valAx>
      <c:valAx>
        <c:axId val="24766094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247662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New Cases: 4/4/2020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New Cases</c:v>
          </c:tx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19050" cap="rnd" cmpd="sng" algn="ctr">
                <a:solidFill>
                  <a:srgbClr val="0000F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Sheet21!$A$1:$AM$1</c:f>
              <c:numCache>
                <c:formatCode>m/d/yyyy</c:formatCode>
                <c:ptCount val="39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</c:numCache>
            </c:numRef>
          </c:xVal>
          <c:yVal>
            <c:numRef>
              <c:f>Sheet21!$A$2:$AM$2</c:f>
              <c:numCache>
                <c:formatCode>General</c:formatCode>
                <c:ptCount val="39"/>
                <c:pt idx="0">
                  <c:v>6</c:v>
                </c:pt>
                <c:pt idx="1">
                  <c:v>1</c:v>
                </c:pt>
                <c:pt idx="2">
                  <c:v>2</c:v>
                </c:pt>
                <c:pt idx="3">
                  <c:v>8</c:v>
                </c:pt>
                <c:pt idx="4">
                  <c:v>6</c:v>
                </c:pt>
                <c:pt idx="5">
                  <c:v>24</c:v>
                </c:pt>
                <c:pt idx="6">
                  <c:v>20</c:v>
                </c:pt>
                <c:pt idx="7">
                  <c:v>31</c:v>
                </c:pt>
                <c:pt idx="8">
                  <c:v>68</c:v>
                </c:pt>
                <c:pt idx="9">
                  <c:v>45</c:v>
                </c:pt>
                <c:pt idx="10">
                  <c:v>140</c:v>
                </c:pt>
                <c:pt idx="11">
                  <c:v>116</c:v>
                </c:pt>
                <c:pt idx="12">
                  <c:v>65</c:v>
                </c:pt>
                <c:pt idx="13">
                  <c:v>376</c:v>
                </c:pt>
                <c:pt idx="14">
                  <c:v>322</c:v>
                </c:pt>
                <c:pt idx="15">
                  <c:v>382</c:v>
                </c:pt>
                <c:pt idx="16">
                  <c:v>516</c:v>
                </c:pt>
                <c:pt idx="17">
                  <c:v>548</c:v>
                </c:pt>
                <c:pt idx="18">
                  <c:v>772</c:v>
                </c:pt>
                <c:pt idx="19">
                  <c:v>1133</c:v>
                </c:pt>
                <c:pt idx="20">
                  <c:v>1789</c:v>
                </c:pt>
                <c:pt idx="21">
                  <c:v>1362</c:v>
                </c:pt>
                <c:pt idx="22">
                  <c:v>5894</c:v>
                </c:pt>
                <c:pt idx="23">
                  <c:v>5423</c:v>
                </c:pt>
                <c:pt idx="24">
                  <c:v>6389</c:v>
                </c:pt>
                <c:pt idx="25">
                  <c:v>7787</c:v>
                </c:pt>
                <c:pt idx="26">
                  <c:v>10571</c:v>
                </c:pt>
                <c:pt idx="27">
                  <c:v>9893</c:v>
                </c:pt>
                <c:pt idx="28">
                  <c:v>12038</c:v>
                </c:pt>
                <c:pt idx="29">
                  <c:v>18058</c:v>
                </c:pt>
                <c:pt idx="30">
                  <c:v>17821</c:v>
                </c:pt>
                <c:pt idx="31">
                  <c:v>19821</c:v>
                </c:pt>
                <c:pt idx="32">
                  <c:v>19408</c:v>
                </c:pt>
                <c:pt idx="33">
                  <c:v>20921</c:v>
                </c:pt>
                <c:pt idx="34">
                  <c:v>26365</c:v>
                </c:pt>
                <c:pt idx="35">
                  <c:v>25200</c:v>
                </c:pt>
                <c:pt idx="36">
                  <c:v>30081</c:v>
                </c:pt>
                <c:pt idx="37">
                  <c:v>32133</c:v>
                </c:pt>
                <c:pt idx="38">
                  <c:v>33264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B2-4DFE-80C8-014C81178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318848"/>
        <c:axId val="342834088"/>
      </c:scatterChart>
      <c:scatterChart>
        <c:scatterStyle val="smoothMarker"/>
        <c:varyColors val="0"/>
        <c:ser>
          <c:idx val="1"/>
          <c:order val="1"/>
          <c:tx>
            <c:v>Mortality Rate</c:v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 cap="rnd" cmpd="sng" algn="ctr">
                <a:solidFill>
                  <a:srgbClr val="FF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Ref>
              <c:f>Sheet21!$A$1:$AM$1</c:f>
              <c:numCache>
                <c:formatCode>m/d/yyyy</c:formatCode>
                <c:ptCount val="39"/>
                <c:pt idx="0">
                  <c:v>43887</c:v>
                </c:pt>
                <c:pt idx="1">
                  <c:v>43888</c:v>
                </c:pt>
                <c:pt idx="2">
                  <c:v>43889</c:v>
                </c:pt>
                <c:pt idx="3">
                  <c:v>43890</c:v>
                </c:pt>
                <c:pt idx="4">
                  <c:v>43891</c:v>
                </c:pt>
                <c:pt idx="5">
                  <c:v>43892</c:v>
                </c:pt>
                <c:pt idx="6">
                  <c:v>43893</c:v>
                </c:pt>
                <c:pt idx="7">
                  <c:v>43894</c:v>
                </c:pt>
                <c:pt idx="8">
                  <c:v>43895</c:v>
                </c:pt>
                <c:pt idx="9">
                  <c:v>43896</c:v>
                </c:pt>
                <c:pt idx="10">
                  <c:v>43897</c:v>
                </c:pt>
                <c:pt idx="11">
                  <c:v>43898</c:v>
                </c:pt>
                <c:pt idx="12">
                  <c:v>43899</c:v>
                </c:pt>
                <c:pt idx="13">
                  <c:v>43900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</c:numCache>
            </c:numRef>
          </c:xVal>
          <c:yVal>
            <c:numRef>
              <c:f>Sheet21!$A$3:$AM$3</c:f>
              <c:numCache>
                <c:formatCode>0.0%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1.4705882352941176E-2</c:v>
                </c:pt>
                <c:pt idx="5">
                  <c:v>1.3513513513513514E-2</c:v>
                </c:pt>
                <c:pt idx="6">
                  <c:v>6.1224489795918366E-2</c:v>
                </c:pt>
                <c:pt idx="7">
                  <c:v>5.9322033898305086E-2</c:v>
                </c:pt>
                <c:pt idx="8">
                  <c:v>7.3825503355704702E-2</c:v>
                </c:pt>
                <c:pt idx="9">
                  <c:v>5.5299539170506916E-2</c:v>
                </c:pt>
                <c:pt idx="10">
                  <c:v>5.3435114503816793E-2</c:v>
                </c:pt>
                <c:pt idx="11">
                  <c:v>4.228855721393035E-2</c:v>
                </c:pt>
                <c:pt idx="12">
                  <c:v>4.0540540540540543E-2</c:v>
                </c:pt>
                <c:pt idx="13">
                  <c:v>3.7735849056603772E-2</c:v>
                </c:pt>
                <c:pt idx="14">
                  <c:v>2.9197080291970802E-2</c:v>
                </c:pt>
                <c:pt idx="15">
                  <c:v>2.8103044496487119E-2</c:v>
                </c:pt>
                <c:pt idx="16">
                  <c:v>2.4052916416115455E-2</c:v>
                </c:pt>
                <c:pt idx="17">
                  <c:v>2.1569527306103717E-2</c:v>
                </c:pt>
                <c:pt idx="18">
                  <c:v>1.9801980198019802E-2</c:v>
                </c:pt>
                <c:pt idx="19">
                  <c:v>1.8005144326950558E-2</c:v>
                </c:pt>
                <c:pt idx="20">
                  <c:v>1.8350604490500865E-2</c:v>
                </c:pt>
                <c:pt idx="21">
                  <c:v>1.6819809998442611E-2</c:v>
                </c:pt>
                <c:pt idx="22">
                  <c:v>1.5161248875754851E-2</c:v>
                </c:pt>
                <c:pt idx="23">
                  <c:v>1.4623089858887182E-2</c:v>
                </c:pt>
                <c:pt idx="24">
                  <c:v>1.2774869109947644E-2</c:v>
                </c:pt>
                <c:pt idx="25">
                  <c:v>1.2044411314684766E-2</c:v>
                </c:pt>
                <c:pt idx="26">
                  <c:v>1.2531554273350162E-2</c:v>
                </c:pt>
                <c:pt idx="27">
                  <c:v>1.2703263621228362E-2</c:v>
                </c:pt>
                <c:pt idx="28">
                  <c:v>1.313732787495348E-2</c:v>
                </c:pt>
                <c:pt idx="29">
                  <c:v>1.4320897564535254E-2</c:v>
                </c:pt>
                <c:pt idx="30">
                  <c:v>1.4421012452884203E-2</c:v>
                </c:pt>
                <c:pt idx="31">
                  <c:v>1.5552298415259156E-2</c:v>
                </c:pt>
                <c:pt idx="32">
                  <c:v>1.6677916989084444E-2</c:v>
                </c:pt>
                <c:pt idx="33">
                  <c:v>1.7510611416322416E-2</c:v>
                </c:pt>
                <c:pt idx="34">
                  <c:v>1.8404642567997676E-2</c:v>
                </c:pt>
                <c:pt idx="35">
                  <c:v>2.0582233275939034E-2</c:v>
                </c:pt>
                <c:pt idx="36">
                  <c:v>2.229439664060889E-2</c:v>
                </c:pt>
                <c:pt idx="37">
                  <c:v>2.4341453997280788E-2</c:v>
                </c:pt>
                <c:pt idx="38">
                  <c:v>2.5716110397480278E-2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B2-4DFE-80C8-014C811783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47416"/>
        <c:axId val="606548728"/>
      </c:scatterChart>
      <c:valAx>
        <c:axId val="60931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834088"/>
        <c:crosses val="autoZero"/>
        <c:crossBetween val="midCat"/>
      </c:valAx>
      <c:valAx>
        <c:axId val="342834088"/>
        <c:scaling>
          <c:orientation val="minMax"/>
          <c:max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rgbClr val="0000FF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00FF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318848"/>
        <c:crosses val="autoZero"/>
        <c:crossBetween val="midCat"/>
      </c:valAx>
      <c:valAx>
        <c:axId val="606548728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 w="9525" cap="flat" cmpd="sng" algn="ctr">
            <a:solidFill>
              <a:srgbClr val="FF0000"/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547416"/>
        <c:crosses val="max"/>
        <c:crossBetween val="midCat"/>
      </c:valAx>
      <c:valAx>
        <c:axId val="60654741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6548728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6FB11B-9C33-4F99-87D4-35C888F95B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020C4B-12E8-44E1-AB57-01AD4C846D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844017A-5DE3-47D5-A3E7-B3C0ED4BAE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49EB58-B3D9-4647-8FB3-8EC03B93F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304800</xdr:colOff>
      <xdr:row>20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FAD11B0-AB48-4235-AD4B-86C3D892C7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CF31C82-CC24-48B4-A6BC-7C1A76EA5F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B7245D-3008-45FF-ACFB-254F16C50E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A84D15-90DF-4685-A3F4-CAFE3D110A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C8F11A-3349-48C3-9B1C-3D066CC32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DF796D9-7E22-4ACC-9035-E839173BA5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0E48E5F-0CD3-4D82-A34B-1D21C29DC7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41910</xdr:rowOff>
    </xdr:from>
    <xdr:to>
      <xdr:col>11</xdr:col>
      <xdr:colOff>579120</xdr:colOff>
      <xdr:row>21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60E58A-6115-4B1C-B11C-3054F2622D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</xdr:colOff>
      <xdr:row>0</xdr:row>
      <xdr:rowOff>30480</xdr:rowOff>
    </xdr:from>
    <xdr:to>
      <xdr:col>11</xdr:col>
      <xdr:colOff>613410</xdr:colOff>
      <xdr:row>21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2ED86A0-9763-4751-BFEC-3634AA26C8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DD0719-4D60-4BF5-8016-4391A46C53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20905D-AFC6-4B0A-843A-AB3EF961E6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305540-727B-40D2-AA1A-E6747EAA31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8B95D1-F6E3-4693-8D84-0354C4A7E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37E267-0FE9-44B5-8C69-12F00F81E3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BEB554-0124-4289-A2BF-6FE2F2F2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4B2C1B-CB49-4117-AA4F-7CD54BF2A1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8991B1-30C9-4541-A6A0-7E80B3DE30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A85569B-0AF7-4E66-A26A-C1FFF07632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579120</xdr:colOff>
      <xdr:row>20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530C18-7139-4EEB-B907-4EA0A8F52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66F96-DD11-497C-AECB-A503D9642535}">
  <sheetPr codeName="Sheet10"/>
  <dimension ref="A1:L4"/>
  <sheetViews>
    <sheetView workbookViewId="0">
      <selection activeCell="O10" sqref="O10"/>
    </sheetView>
  </sheetViews>
  <sheetFormatPr defaultRowHeight="14.4" x14ac:dyDescent="0.55000000000000004"/>
  <sheetData>
    <row r="1" spans="1:12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122</v>
      </c>
    </row>
    <row r="4" spans="1:12" x14ac:dyDescent="0.55000000000000004">
      <c r="A4" s="1">
        <v>43898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66A7-A6EE-4568-85B1-8BD94A429B70}">
  <sheetPr codeName="Sheet1"/>
  <dimension ref="A1:M4"/>
  <sheetViews>
    <sheetView workbookViewId="0">
      <selection activeCell="A4" sqref="A4"/>
    </sheetView>
  </sheetViews>
  <sheetFormatPr defaultRowHeight="14.4" x14ac:dyDescent="0.55000000000000004"/>
  <sheetData>
    <row r="1" spans="1:13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25</v>
      </c>
      <c r="G1">
        <v>20</v>
      </c>
      <c r="H1">
        <v>31</v>
      </c>
      <c r="I1">
        <v>68</v>
      </c>
      <c r="J1">
        <v>57</v>
      </c>
      <c r="K1">
        <v>139</v>
      </c>
      <c r="L1">
        <v>121</v>
      </c>
      <c r="M1">
        <v>68</v>
      </c>
    </row>
    <row r="4" spans="1:13" x14ac:dyDescent="0.55000000000000004">
      <c r="A4" s="1">
        <v>43899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FF136-DC8A-4714-9019-C1B2BCC42A8A}">
  <sheetPr codeName="Sheet2"/>
  <dimension ref="A1:N4"/>
  <sheetViews>
    <sheetView workbookViewId="0">
      <selection activeCell="B31" sqref="B31"/>
    </sheetView>
  </sheetViews>
  <sheetFormatPr defaultRowHeight="14.4" x14ac:dyDescent="0.55000000000000004"/>
  <sheetData>
    <row r="1" spans="1:14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50</v>
      </c>
      <c r="K1">
        <v>136</v>
      </c>
      <c r="L1">
        <v>115</v>
      </c>
      <c r="M1">
        <v>66</v>
      </c>
      <c r="N1">
        <v>1086</v>
      </c>
    </row>
    <row r="4" spans="1:14" x14ac:dyDescent="0.55000000000000004">
      <c r="A4" s="1">
        <v>43900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364BC-7221-4B7A-9AE1-5047CCAA58D6}">
  <sheetPr codeName="Sheet3"/>
  <dimension ref="A1:O4"/>
  <sheetViews>
    <sheetView workbookViewId="0">
      <selection activeCell="A4" sqref="A4"/>
    </sheetView>
  </sheetViews>
  <sheetFormatPr defaultRowHeight="14.4" x14ac:dyDescent="0.55000000000000004"/>
  <sheetData>
    <row r="1" spans="1:15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1082</v>
      </c>
      <c r="O1">
        <v>719</v>
      </c>
    </row>
    <row r="4" spans="1:15" x14ac:dyDescent="0.55000000000000004">
      <c r="A4" s="1">
        <v>43901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8038F-3FDA-4DB2-B3E5-4884D1163FD9}">
  <sheetPr codeName="Sheet4"/>
  <dimension ref="A1:P4"/>
  <sheetViews>
    <sheetView workbookViewId="0">
      <selection activeCell="A4" sqref="A4"/>
    </sheetView>
  </sheetViews>
  <sheetFormatPr defaultRowHeight="14.4" x14ac:dyDescent="0.55000000000000004"/>
  <sheetData>
    <row r="1" spans="1:16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</row>
    <row r="4" spans="1:16" x14ac:dyDescent="0.55000000000000004">
      <c r="A4" s="1">
        <v>43902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F80BD-6FEF-4F42-9340-4B1BB2D53AF0}">
  <sheetPr codeName="Sheet5"/>
  <dimension ref="A1:Q4"/>
  <sheetViews>
    <sheetView workbookViewId="0">
      <selection activeCell="A4" sqref="A4"/>
    </sheetView>
  </sheetViews>
  <sheetFormatPr defaultRowHeight="14.4" x14ac:dyDescent="0.55000000000000004"/>
  <sheetData>
    <row r="1" spans="1:17" x14ac:dyDescent="0.55000000000000004">
      <c r="A1">
        <v>6</v>
      </c>
      <c r="B1">
        <v>1</v>
      </c>
      <c r="C1">
        <v>2</v>
      </c>
      <c r="D1">
        <v>8</v>
      </c>
      <c r="E1">
        <v>6</v>
      </c>
      <c r="F1">
        <v>24</v>
      </c>
      <c r="G1">
        <v>20</v>
      </c>
      <c r="H1">
        <v>31</v>
      </c>
      <c r="I1">
        <v>68</v>
      </c>
      <c r="J1">
        <v>45</v>
      </c>
      <c r="K1">
        <v>140</v>
      </c>
      <c r="L1">
        <v>116</v>
      </c>
      <c r="M1">
        <v>65</v>
      </c>
      <c r="N1">
        <v>376</v>
      </c>
      <c r="O1">
        <v>322</v>
      </c>
      <c r="P1">
        <v>382</v>
      </c>
      <c r="Q1">
        <v>516</v>
      </c>
    </row>
    <row r="4" spans="1:17" x14ac:dyDescent="0.55000000000000004">
      <c r="A4" s="1">
        <v>43903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0259F-AE45-4689-944D-11C95B82C85D}">
  <sheetPr codeName="Sheet6"/>
  <dimension ref="A1:T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0" width="9.15625" bestFit="1" customWidth="1"/>
  </cols>
  <sheetData>
    <row r="1" spans="1:20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</row>
    <row r="2" spans="1:20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</row>
    <row r="4" spans="1:20" x14ac:dyDescent="0.55000000000000004">
      <c r="A4" s="1">
        <v>43906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252B7-DDDA-47BB-AAAA-07C756A8A33C}">
  <sheetPr codeName="Sheet7"/>
  <dimension ref="A1:U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1" width="9.15625" bestFit="1" customWidth="1"/>
  </cols>
  <sheetData>
    <row r="1" spans="1:2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</row>
    <row r="2" spans="1:2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</row>
    <row r="4" spans="1:21" x14ac:dyDescent="0.55000000000000004">
      <c r="A4" s="1">
        <v>43907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A12EE-1DD4-494C-8F9F-647B304E17AE}">
  <sheetPr codeName="Sheet8"/>
  <dimension ref="A1:V4"/>
  <sheetViews>
    <sheetView workbookViewId="0">
      <selection sqref="A1:XFD1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2" width="9.15625" bestFit="1" customWidth="1"/>
  </cols>
  <sheetData>
    <row r="1" spans="1:2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</row>
    <row r="2" spans="1:2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</row>
    <row r="4" spans="1:22" x14ac:dyDescent="0.55000000000000004">
      <c r="A4" s="1">
        <v>43908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2B604-305A-4B97-8BA7-153C5A16ADD2}">
  <sheetPr codeName="Sheet9"/>
  <dimension ref="A1:BK250"/>
  <sheetViews>
    <sheetView workbookViewId="0">
      <selection activeCell="A3" sqref="A3: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3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</row>
    <row r="3" spans="1:24" x14ac:dyDescent="0.55000000000000004">
      <c r="A3" s="2" t="e">
        <v>#REF!</v>
      </c>
      <c r="B3" s="2" t="e">
        <v>#REF!</v>
      </c>
      <c r="C3" s="2" t="e">
        <v>#REF!</v>
      </c>
      <c r="D3" s="2" t="e">
        <v>#REF!</v>
      </c>
      <c r="E3" s="2" t="e">
        <v>#REF!</v>
      </c>
      <c r="F3" s="2" t="e">
        <v>#REF!</v>
      </c>
      <c r="G3" s="2" t="e">
        <v>#REF!</v>
      </c>
      <c r="H3" s="2" t="e">
        <v>#REF!</v>
      </c>
      <c r="I3" s="2" t="e">
        <v>#REF!</v>
      </c>
      <c r="J3" s="2" t="e">
        <v>#REF!</v>
      </c>
      <c r="K3" s="2" t="e">
        <v>#REF!</v>
      </c>
      <c r="L3" s="2" t="e">
        <v>#REF!</v>
      </c>
      <c r="M3" s="2" t="e">
        <v>#REF!</v>
      </c>
      <c r="N3" s="2" t="e">
        <v>#REF!</v>
      </c>
      <c r="O3" s="2" t="e">
        <v>#REF!</v>
      </c>
      <c r="P3" s="2" t="e">
        <v>#REF!</v>
      </c>
      <c r="Q3" s="2" t="e">
        <v>#REF!</v>
      </c>
      <c r="R3" s="2" t="e">
        <v>#REF!</v>
      </c>
      <c r="S3" s="2" t="e">
        <v>#REF!</v>
      </c>
      <c r="T3" s="2" t="e">
        <v>#REF!</v>
      </c>
      <c r="U3" s="2" t="e">
        <v>#REF!</v>
      </c>
      <c r="V3" s="2" t="e">
        <v>#REF!</v>
      </c>
      <c r="W3" s="2" t="e">
        <v>#REF!</v>
      </c>
      <c r="X3" s="2" t="e">
        <v>#REF!</v>
      </c>
    </row>
    <row r="4" spans="1:24" x14ac:dyDescent="0.55000000000000004">
      <c r="A4" s="1">
        <v>43909</v>
      </c>
    </row>
    <row r="250" spans="40:63" x14ac:dyDescent="0.55000000000000004">
      <c r="AN250" t="e">
        <f>AM249/#REF!</f>
        <v>#REF!</v>
      </c>
      <c r="AO250" t="e">
        <f>AN249/#REF!</f>
        <v>#REF!</v>
      </c>
      <c r="AP250" t="e">
        <f>AO249/#REF!</f>
        <v>#REF!</v>
      </c>
      <c r="AQ250" t="e">
        <f>AP249/#REF!</f>
        <v>#REF!</v>
      </c>
      <c r="AR250" t="e">
        <f>AQ249/#REF!</f>
        <v>#REF!</v>
      </c>
      <c r="AS250" t="e">
        <f>AR249/#REF!</f>
        <v>#REF!</v>
      </c>
      <c r="AT250" t="e">
        <f>AS249/#REF!</f>
        <v>#REF!</v>
      </c>
      <c r="AU250" t="e">
        <f>AT249/#REF!</f>
        <v>#REF!</v>
      </c>
      <c r="AV250" t="e">
        <f>AU249/#REF!</f>
        <v>#REF!</v>
      </c>
      <c r="AW250" t="e">
        <f>AV249/#REF!</f>
        <v>#REF!</v>
      </c>
      <c r="AX250" t="e">
        <f>AW249/#REF!</f>
        <v>#REF!</v>
      </c>
      <c r="AY250" t="e">
        <f>AX249/#REF!</f>
        <v>#REF!</v>
      </c>
      <c r="AZ250" t="e">
        <f>AY249/#REF!</f>
        <v>#REF!</v>
      </c>
      <c r="BA250" t="e">
        <f>AZ249/#REF!</f>
        <v>#REF!</v>
      </c>
      <c r="BB250" t="e">
        <f>BA249/#REF!</f>
        <v>#REF!</v>
      </c>
      <c r="BC250" t="e">
        <f>BB249/#REF!</f>
        <v>#REF!</v>
      </c>
      <c r="BD250" t="e">
        <f>BC249/#REF!</f>
        <v>#REF!</v>
      </c>
      <c r="BE250" t="e">
        <f>BD249/#REF!</f>
        <v>#REF!</v>
      </c>
      <c r="BF250" t="e">
        <f>BE249/#REF!</f>
        <v>#REF!</v>
      </c>
      <c r="BG250" t="e">
        <f>BF249/#REF!</f>
        <v>#REF!</v>
      </c>
      <c r="BH250" t="e">
        <f>BG249/#REF!</f>
        <v>#REF!</v>
      </c>
      <c r="BI250" t="e">
        <f>BH249/#REF!</f>
        <v>#REF!</v>
      </c>
      <c r="BJ250" t="e">
        <f>BI249/#REF!</f>
        <v>#REF!</v>
      </c>
      <c r="BK250" t="e">
        <f>BJ249/#REF!</f>
        <v>#REF!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36917-24DE-4F52-8469-66C82B494F39}">
  <sheetPr codeName="Sheet26"/>
  <dimension ref="A1:X4"/>
  <sheetViews>
    <sheetView workbookViewId="0">
      <selection activeCell="X3" sqref="X3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4" width="9.15625" bestFit="1" customWidth="1"/>
  </cols>
  <sheetData>
    <row r="1" spans="1:2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</row>
    <row r="2" spans="1:2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</row>
    <row r="3" spans="1:2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</row>
    <row r="4" spans="1:24" x14ac:dyDescent="0.55000000000000004">
      <c r="A4" s="1">
        <v>43910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5C01-16B3-4257-A65C-C329636BE06C}">
  <sheetPr codeName="Sheet30"/>
  <dimension ref="A1:Y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25" width="9.15625" bestFit="1" customWidth="1"/>
  </cols>
  <sheetData>
    <row r="1" spans="1:2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</row>
    <row r="2" spans="1:2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</row>
    <row r="3" spans="1:2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</row>
    <row r="4" spans="1:25" x14ac:dyDescent="0.55000000000000004">
      <c r="A4" s="1">
        <v>43911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158A-A60E-4022-AB4F-9C50823CEFC2}">
  <sheetPr codeName="Sheet11"/>
  <dimension ref="A1:Z4"/>
  <sheetViews>
    <sheetView workbookViewId="0">
      <selection activeCell="O20" sqref="O20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6" width="9.15625" bestFit="1" customWidth="1"/>
  </cols>
  <sheetData>
    <row r="1" spans="1:26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</row>
    <row r="2" spans="1:26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7783</v>
      </c>
    </row>
    <row r="3" spans="1:26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</row>
    <row r="4" spans="1:26" x14ac:dyDescent="0.55000000000000004">
      <c r="A4" s="1">
        <v>43912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0C57F-CE2E-4F05-BA8E-5ABB89A188C1}">
  <sheetPr codeName="Sheet14"/>
  <dimension ref="A1:AB4"/>
  <sheetViews>
    <sheetView workbookViewId="0">
      <selection activeCell="N17" sqref="N17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28" width="9.15625" bestFit="1" customWidth="1"/>
  </cols>
  <sheetData>
    <row r="1" spans="1:28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</row>
    <row r="2" spans="1:28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</row>
    <row r="3" spans="1:28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</row>
    <row r="4" spans="1:28" x14ac:dyDescent="0.55000000000000004">
      <c r="A4" s="1">
        <v>43914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F5E8-F878-4C13-BFB3-EB7FAEE257DC}">
  <sheetPr codeName="Sheet15"/>
  <dimension ref="A1:AE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1" width="9.15625" bestFit="1" customWidth="1"/>
  </cols>
  <sheetData>
    <row r="1" spans="1:31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</row>
    <row r="2" spans="1:31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</row>
    <row r="3" spans="1:31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</row>
    <row r="4" spans="1:31" x14ac:dyDescent="0.55000000000000004">
      <c r="A4" s="1">
        <v>43917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7EFB4-0BBF-4377-90D3-B5CCF313EA12}">
  <sheetPr codeName="Sheet12"/>
  <dimension ref="A1:AF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2" width="9.15625" bestFit="1" customWidth="1"/>
  </cols>
  <sheetData>
    <row r="1" spans="1:32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</row>
    <row r="2" spans="1:32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</row>
    <row r="3" spans="1:32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</row>
    <row r="4" spans="1:32" x14ac:dyDescent="0.55000000000000004">
      <c r="A4" s="1">
        <v>43918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C6FB2-3B67-44C0-9773-0B5083144D41}">
  <sheetPr codeName="Sheet13"/>
  <dimension ref="A1:AG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3" width="9.15625" bestFit="1" customWidth="1"/>
  </cols>
  <sheetData>
    <row r="1" spans="1:33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</row>
    <row r="2" spans="1:33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</row>
    <row r="3" spans="1:33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</row>
    <row r="4" spans="1:33" x14ac:dyDescent="0.55000000000000004">
      <c r="A4" s="1">
        <v>43919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AD07C-EDBF-440F-BDEC-066EBA71FCFF}">
  <dimension ref="A1:AH4"/>
  <sheetViews>
    <sheetView workbookViewId="0">
      <selection activeCell="A2" sqref="A2"/>
    </sheetView>
  </sheetViews>
  <sheetFormatPr defaultRowHeight="14.4" x14ac:dyDescent="0.55000000000000004"/>
  <cols>
    <col min="1" max="4" width="9.15625" bestFit="1" customWidth="1"/>
    <col min="5" max="13" width="8.89453125" bestFit="1" customWidth="1"/>
    <col min="14" max="34" width="9.15625" bestFit="1" customWidth="1"/>
  </cols>
  <sheetData>
    <row r="1" spans="1:34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</row>
    <row r="2" spans="1:34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</row>
    <row r="3" spans="1:34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</row>
    <row r="4" spans="1:34" x14ac:dyDescent="0.55000000000000004">
      <c r="A4" s="1">
        <v>43920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92F47-C2AD-433D-8A3F-AFCB43B85752}">
  <dimension ref="A1:AI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</cols>
  <sheetData>
    <row r="1" spans="1:35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</row>
    <row r="2" spans="1:35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</row>
    <row r="3" spans="1:35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</row>
    <row r="4" spans="1:35" x14ac:dyDescent="0.55000000000000004">
      <c r="A4" s="1">
        <v>43921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BB773-74B3-4EBE-9308-B8A505322174}">
  <dimension ref="A1:AJ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6" width="8.89453125" bestFit="1" customWidth="1"/>
  </cols>
  <sheetData>
    <row r="1" spans="1:36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</row>
    <row r="2" spans="1:36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</row>
    <row r="3" spans="1:36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</row>
    <row r="4" spans="1:36" x14ac:dyDescent="0.55000000000000004">
      <c r="A4" s="1">
        <v>43922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CACE-E291-4129-89FD-CAE22E369C96}">
  <dimension ref="A1:AK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7" width="8.89453125" bestFit="1" customWidth="1"/>
  </cols>
  <sheetData>
    <row r="1" spans="1:37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</row>
    <row r="2" spans="1:37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</row>
    <row r="3" spans="1:37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</row>
    <row r="4" spans="1:37" x14ac:dyDescent="0.55000000000000004">
      <c r="A4" s="1">
        <v>43923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6B03F-DDD2-4A04-A062-0CFC16849E7D}">
  <dimension ref="A1:AL4"/>
  <sheetViews>
    <sheetView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8" width="8.89453125" bestFit="1" customWidth="1"/>
  </cols>
  <sheetData>
    <row r="1" spans="1:38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</row>
    <row r="2" spans="1:38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  <c r="AL2">
        <v>32133</v>
      </c>
    </row>
    <row r="3" spans="1:38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  <c r="AL3" s="2">
        <v>2.4341453997280788E-2</v>
      </c>
    </row>
    <row r="4" spans="1:38" x14ac:dyDescent="0.55000000000000004">
      <c r="A4" s="1">
        <v>43924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16F78-A265-468C-9B3E-4035CD844DED}">
  <dimension ref="A1:AM4"/>
  <sheetViews>
    <sheetView tabSelected="1" workbookViewId="0"/>
  </sheetViews>
  <sheetFormatPr defaultRowHeight="14.4" x14ac:dyDescent="0.55000000000000004"/>
  <cols>
    <col min="1" max="4" width="9.15625" bestFit="1" customWidth="1"/>
    <col min="5" max="13" width="8.89453125" bestFit="1" customWidth="1"/>
    <col min="14" max="35" width="9.15625" bestFit="1" customWidth="1"/>
    <col min="36" max="39" width="8.89453125" bestFit="1" customWidth="1"/>
  </cols>
  <sheetData>
    <row r="1" spans="1:39" s="1" customFormat="1" x14ac:dyDescent="0.55000000000000004">
      <c r="A1" s="1">
        <v>43887</v>
      </c>
      <c r="B1" s="1">
        <v>43888</v>
      </c>
      <c r="C1" s="1">
        <v>43889</v>
      </c>
      <c r="D1" s="1">
        <v>43890</v>
      </c>
      <c r="E1" s="1">
        <v>43891</v>
      </c>
      <c r="F1" s="1">
        <v>43892</v>
      </c>
      <c r="G1" s="1">
        <v>43893</v>
      </c>
      <c r="H1" s="1">
        <v>43894</v>
      </c>
      <c r="I1" s="1">
        <v>43895</v>
      </c>
      <c r="J1" s="1">
        <v>43896</v>
      </c>
      <c r="K1" s="1">
        <v>43897</v>
      </c>
      <c r="L1" s="1">
        <v>43898</v>
      </c>
      <c r="M1" s="1">
        <v>43899</v>
      </c>
      <c r="N1" s="1">
        <v>43900</v>
      </c>
      <c r="O1" s="1">
        <v>43901</v>
      </c>
      <c r="P1" s="1">
        <v>43902</v>
      </c>
      <c r="Q1" s="1">
        <v>43903</v>
      </c>
      <c r="R1" s="1">
        <v>43904</v>
      </c>
      <c r="S1" s="1">
        <v>43905</v>
      </c>
      <c r="T1" s="1">
        <v>43906</v>
      </c>
      <c r="U1" s="1">
        <v>43907</v>
      </c>
      <c r="V1" s="1">
        <v>43908</v>
      </c>
      <c r="W1" s="1">
        <v>43909</v>
      </c>
      <c r="X1" s="1">
        <v>43910</v>
      </c>
      <c r="Y1" s="1">
        <v>43911</v>
      </c>
      <c r="Z1" s="1">
        <v>43912</v>
      </c>
      <c r="AA1" s="1">
        <v>43913</v>
      </c>
      <c r="AB1" s="1">
        <v>43914</v>
      </c>
      <c r="AC1" s="1">
        <v>43915</v>
      </c>
      <c r="AD1" s="1">
        <v>43916</v>
      </c>
      <c r="AE1" s="1">
        <v>43917</v>
      </c>
      <c r="AF1" s="1">
        <v>43918</v>
      </c>
      <c r="AG1" s="1">
        <v>43919</v>
      </c>
      <c r="AH1" s="1">
        <v>43920</v>
      </c>
      <c r="AI1" s="1">
        <v>43921</v>
      </c>
      <c r="AJ1" s="1">
        <v>43922</v>
      </c>
      <c r="AK1" s="1">
        <v>43923</v>
      </c>
      <c r="AL1" s="1">
        <v>43924</v>
      </c>
      <c r="AM1" s="1">
        <v>43925</v>
      </c>
    </row>
    <row r="2" spans="1:39" x14ac:dyDescent="0.55000000000000004">
      <c r="A2">
        <v>6</v>
      </c>
      <c r="B2">
        <v>1</v>
      </c>
      <c r="C2">
        <v>2</v>
      </c>
      <c r="D2">
        <v>8</v>
      </c>
      <c r="E2">
        <v>6</v>
      </c>
      <c r="F2">
        <v>24</v>
      </c>
      <c r="G2">
        <v>20</v>
      </c>
      <c r="H2">
        <v>31</v>
      </c>
      <c r="I2">
        <v>68</v>
      </c>
      <c r="J2">
        <v>45</v>
      </c>
      <c r="K2">
        <v>140</v>
      </c>
      <c r="L2">
        <v>116</v>
      </c>
      <c r="M2">
        <v>65</v>
      </c>
      <c r="N2">
        <v>376</v>
      </c>
      <c r="O2">
        <v>322</v>
      </c>
      <c r="P2">
        <v>382</v>
      </c>
      <c r="Q2">
        <v>516</v>
      </c>
      <c r="R2">
        <v>548</v>
      </c>
      <c r="S2">
        <v>772</v>
      </c>
      <c r="T2">
        <v>1133</v>
      </c>
      <c r="U2">
        <v>1789</v>
      </c>
      <c r="V2">
        <v>1362</v>
      </c>
      <c r="W2">
        <v>5894</v>
      </c>
      <c r="X2">
        <v>5423</v>
      </c>
      <c r="Y2">
        <v>6389</v>
      </c>
      <c r="Z2">
        <v>7787</v>
      </c>
      <c r="AA2">
        <v>10571</v>
      </c>
      <c r="AB2">
        <v>9893</v>
      </c>
      <c r="AC2">
        <v>12038</v>
      </c>
      <c r="AD2">
        <v>18058</v>
      </c>
      <c r="AE2">
        <v>17821</v>
      </c>
      <c r="AF2">
        <v>19821</v>
      </c>
      <c r="AG2">
        <v>19408</v>
      </c>
      <c r="AH2">
        <v>20921</v>
      </c>
      <c r="AI2">
        <v>26365</v>
      </c>
      <c r="AJ2">
        <v>25200</v>
      </c>
      <c r="AK2">
        <v>30081</v>
      </c>
      <c r="AL2">
        <v>32133</v>
      </c>
      <c r="AM2">
        <v>33264</v>
      </c>
    </row>
    <row r="3" spans="1:39" x14ac:dyDescent="0.55000000000000004">
      <c r="A3" s="2">
        <v>0</v>
      </c>
      <c r="B3" s="2">
        <v>0</v>
      </c>
      <c r="C3" s="2">
        <v>0</v>
      </c>
      <c r="D3" s="2">
        <v>0</v>
      </c>
      <c r="E3" s="2">
        <v>1.4705882352941176E-2</v>
      </c>
      <c r="F3" s="2">
        <v>1.3513513513513514E-2</v>
      </c>
      <c r="G3" s="2">
        <v>6.1224489795918366E-2</v>
      </c>
      <c r="H3" s="2">
        <v>5.9322033898305086E-2</v>
      </c>
      <c r="I3" s="2">
        <v>7.3825503355704702E-2</v>
      </c>
      <c r="J3" s="2">
        <v>5.5299539170506916E-2</v>
      </c>
      <c r="K3" s="2">
        <v>5.3435114503816793E-2</v>
      </c>
      <c r="L3" s="2">
        <v>4.228855721393035E-2</v>
      </c>
      <c r="M3" s="2">
        <v>4.0540540540540543E-2</v>
      </c>
      <c r="N3" s="2">
        <v>3.7735849056603772E-2</v>
      </c>
      <c r="O3" s="2">
        <v>2.9197080291970802E-2</v>
      </c>
      <c r="P3" s="2">
        <v>2.8103044496487119E-2</v>
      </c>
      <c r="Q3" s="2">
        <v>2.4052916416115455E-2</v>
      </c>
      <c r="R3" s="2">
        <v>2.1569527306103717E-2</v>
      </c>
      <c r="S3" s="2">
        <v>1.9801980198019802E-2</v>
      </c>
      <c r="T3" s="2">
        <v>1.8005144326950558E-2</v>
      </c>
      <c r="U3" s="2">
        <v>1.8350604490500865E-2</v>
      </c>
      <c r="V3" s="2">
        <v>1.6819809998442611E-2</v>
      </c>
      <c r="W3" s="2">
        <v>1.5161248875754851E-2</v>
      </c>
      <c r="X3" s="2">
        <v>1.4623089858887182E-2</v>
      </c>
      <c r="Y3" s="2">
        <v>1.2774869109947644E-2</v>
      </c>
      <c r="Z3" s="2">
        <v>1.2044411314684766E-2</v>
      </c>
      <c r="AA3" s="2">
        <v>1.2531554273350162E-2</v>
      </c>
      <c r="AB3" s="2">
        <v>1.2703263621228362E-2</v>
      </c>
      <c r="AC3" s="2">
        <v>1.313732787495348E-2</v>
      </c>
      <c r="AD3" s="2">
        <v>1.4320897564535254E-2</v>
      </c>
      <c r="AE3" s="2">
        <v>1.4421012452884203E-2</v>
      </c>
      <c r="AF3" s="2">
        <v>1.5552298415259156E-2</v>
      </c>
      <c r="AG3" s="2">
        <v>1.6677916989084444E-2</v>
      </c>
      <c r="AH3" s="2">
        <v>1.7510611416322416E-2</v>
      </c>
      <c r="AI3" s="2">
        <v>1.8404642567997676E-2</v>
      </c>
      <c r="AJ3" s="2">
        <v>2.0582233275939034E-2</v>
      </c>
      <c r="AK3" s="2">
        <v>2.229439664060889E-2</v>
      </c>
      <c r="AL3" s="2">
        <v>2.4341453997280788E-2</v>
      </c>
      <c r="AM3" s="2">
        <v>2.5716110397480278E-2</v>
      </c>
    </row>
    <row r="4" spans="1:39" x14ac:dyDescent="0.55000000000000004">
      <c r="A4" s="1">
        <v>43925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Sheet10</vt:lpstr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Sheet26</vt:lpstr>
      <vt:lpstr>Sheet30</vt:lpstr>
      <vt:lpstr>Sheet11</vt:lpstr>
      <vt:lpstr>Sheet14</vt:lpstr>
      <vt:lpstr>Sheet15</vt:lpstr>
      <vt:lpstr>Sheet12</vt:lpstr>
      <vt:lpstr>Sheet13</vt:lpstr>
      <vt:lpstr>Sheet16</vt:lpstr>
      <vt:lpstr>Sheet17</vt:lpstr>
      <vt:lpstr>Sheet18</vt:lpstr>
      <vt:lpstr>Sheet19</vt:lpstr>
      <vt:lpstr>Sheet20</vt:lpstr>
      <vt:lpstr>Sheet21</vt:lpstr>
    </vt:vector>
  </TitlesOfParts>
  <Company>California State University Monterey Bay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Greene</dc:creator>
  <cp:lastModifiedBy>michael greene</cp:lastModifiedBy>
  <dcterms:created xsi:type="dcterms:W3CDTF">2020-02-27T16:44:01Z</dcterms:created>
  <dcterms:modified xsi:type="dcterms:W3CDTF">2020-04-05T01:50:33Z</dcterms:modified>
</cp:coreProperties>
</file>